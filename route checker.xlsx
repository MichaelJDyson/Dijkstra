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6bb24ef2b0a32d5/cSharp/DijkstraGrid v5/"/>
    </mc:Choice>
  </mc:AlternateContent>
  <xr:revisionPtr revIDLastSave="75" documentId="8_{096FF740-CA78-4CAD-B269-83904B8C2D79}" xr6:coauthVersionLast="47" xr6:coauthVersionMax="47" xr10:uidLastSave="{37863C83-F4B4-424A-BBF9-86FEE2546F30}"/>
  <bookViews>
    <workbookView xWindow="-39864" yWindow="4896" windowWidth="34560" windowHeight="18600" xr2:uid="{6BE23F34-FF98-441E-BF03-0407121F75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" i="1" l="1"/>
  <c r="I13" i="1"/>
  <c r="G13" i="1"/>
  <c r="J13" i="1" s="1"/>
  <c r="G14" i="1"/>
  <c r="J14" i="1" s="1"/>
  <c r="G7" i="1"/>
  <c r="G8" i="1"/>
  <c r="G9" i="1"/>
  <c r="G10" i="1"/>
  <c r="G11" i="1"/>
  <c r="G12" i="1"/>
  <c r="J7" i="1"/>
  <c r="J8" i="1"/>
  <c r="J9" i="1"/>
  <c r="J10" i="1"/>
  <c r="J11" i="1"/>
  <c r="J12" i="1"/>
  <c r="J4" i="1"/>
  <c r="I5" i="1"/>
  <c r="I6" i="1"/>
  <c r="I7" i="1"/>
  <c r="I8" i="1"/>
  <c r="I9" i="1"/>
  <c r="I10" i="1"/>
  <c r="I11" i="1"/>
  <c r="I12" i="1"/>
  <c r="I16" i="1"/>
  <c r="I4" i="1"/>
  <c r="G6" i="1"/>
  <c r="J6" i="1" s="1"/>
  <c r="G5" i="1"/>
  <c r="J5" i="1" s="1"/>
  <c r="K14" i="1" l="1"/>
  <c r="K13" i="1"/>
  <c r="K5" i="1"/>
  <c r="K16" i="1"/>
  <c r="K4" i="1"/>
  <c r="K12" i="1"/>
  <c r="K11" i="1"/>
  <c r="K9" i="1"/>
  <c r="K7" i="1"/>
  <c r="K8" i="1"/>
  <c r="K10" i="1"/>
  <c r="K6" i="1"/>
  <c r="I17" i="1"/>
  <c r="K17" i="1" l="1"/>
</calcChain>
</file>

<file path=xl/sharedStrings.xml><?xml version="1.0" encoding="utf-8"?>
<sst xmlns="http://schemas.openxmlformats.org/spreadsheetml/2006/main" count="21" uniqueCount="11">
  <si>
    <t>from</t>
  </si>
  <si>
    <t>to</t>
  </si>
  <si>
    <t>Diagonal</t>
  </si>
  <si>
    <t>Straight</t>
  </si>
  <si>
    <t>dis</t>
  </si>
  <si>
    <t>dist</t>
  </si>
  <si>
    <t>weight</t>
  </si>
  <si>
    <t>load</t>
  </si>
  <si>
    <t>x</t>
  </si>
  <si>
    <t>y</t>
  </si>
  <si>
    <t>f(x,y)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</si>
</sst>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92109-0950-49F3-A32C-87685BB08B57}">
  <dimension ref="F2:P17"/>
  <sheetViews>
    <sheetView tabSelected="1" zoomScale="160" zoomScaleNormal="160" workbookViewId="0">
      <selection activeCell="N2" sqref="N2:P12"/>
    </sheetView>
  </sheetViews>
  <sheetFormatPr defaultRowHeight="14.4" x14ac:dyDescent="0.3"/>
  <sheetData>
    <row r="2" spans="6:16" x14ac:dyDescent="0.3">
      <c r="N2" s="1" t="s">
        <v>8</v>
      </c>
      <c r="O2" s="1" t="s">
        <v>9</v>
      </c>
      <c r="P2" s="1" t="s">
        <v>10</v>
      </c>
    </row>
    <row r="3" spans="6:16" x14ac:dyDescent="0.3">
      <c r="F3" t="s">
        <v>3</v>
      </c>
      <c r="G3" t="s">
        <v>0</v>
      </c>
      <c r="H3" t="s">
        <v>1</v>
      </c>
      <c r="I3" t="s">
        <v>5</v>
      </c>
      <c r="J3" t="s">
        <v>6</v>
      </c>
      <c r="K3" t="s">
        <v>7</v>
      </c>
      <c r="N3">
        <v>1</v>
      </c>
      <c r="O3">
        <v>1</v>
      </c>
      <c r="P3">
        <v>0</v>
      </c>
    </row>
    <row r="4" spans="6:16" x14ac:dyDescent="0.3">
      <c r="F4" t="s">
        <v>3</v>
      </c>
      <c r="G4">
        <v>1</v>
      </c>
      <c r="H4">
        <v>2</v>
      </c>
      <c r="I4">
        <f>IF(F4="Straight",1,2^0.5)</f>
        <v>1</v>
      </c>
      <c r="J4">
        <f>AVERAGE(G4:H4)</f>
        <v>1.5</v>
      </c>
      <c r="K4">
        <f>I4*J4</f>
        <v>1.5</v>
      </c>
      <c r="N4">
        <v>1</v>
      </c>
      <c r="O4">
        <v>2</v>
      </c>
      <c r="P4">
        <v>1</v>
      </c>
    </row>
    <row r="5" spans="6:16" x14ac:dyDescent="0.3">
      <c r="F5" t="s">
        <v>2</v>
      </c>
      <c r="G5">
        <f>H4</f>
        <v>2</v>
      </c>
      <c r="H5">
        <v>2</v>
      </c>
      <c r="I5">
        <f t="shared" ref="I5:I16" si="0">IF(F5="Straight",1,2^0.5)</f>
        <v>1.4142135623730951</v>
      </c>
      <c r="J5">
        <f t="shared" ref="J5:J14" si="1">AVERAGE(G5:H5)</f>
        <v>2</v>
      </c>
      <c r="K5">
        <f t="shared" ref="K5:K16" si="2">I5*J5</f>
        <v>2.8284271247461903</v>
      </c>
      <c r="N5">
        <v>1</v>
      </c>
      <c r="O5">
        <v>3</v>
      </c>
      <c r="P5">
        <v>2</v>
      </c>
    </row>
    <row r="6" spans="6:16" x14ac:dyDescent="0.3">
      <c r="F6" t="s">
        <v>3</v>
      </c>
      <c r="G6">
        <f t="shared" ref="G6:G14" si="3">H5</f>
        <v>2</v>
      </c>
      <c r="H6">
        <v>1</v>
      </c>
      <c r="I6">
        <f t="shared" si="0"/>
        <v>1</v>
      </c>
      <c r="J6">
        <f t="shared" si="1"/>
        <v>1.5</v>
      </c>
      <c r="K6">
        <f t="shared" si="2"/>
        <v>1.5</v>
      </c>
      <c r="N6">
        <v>1</v>
      </c>
      <c r="O6">
        <v>0</v>
      </c>
      <c r="P6">
        <v>1</v>
      </c>
    </row>
    <row r="7" spans="6:16" x14ac:dyDescent="0.3">
      <c r="F7" t="s">
        <v>2</v>
      </c>
      <c r="G7">
        <f t="shared" si="3"/>
        <v>1</v>
      </c>
      <c r="H7">
        <v>1</v>
      </c>
      <c r="I7">
        <f t="shared" si="0"/>
        <v>1.4142135623730951</v>
      </c>
      <c r="J7">
        <f t="shared" si="1"/>
        <v>1</v>
      </c>
      <c r="K7">
        <f t="shared" si="2"/>
        <v>1.4142135623730951</v>
      </c>
      <c r="N7">
        <v>1</v>
      </c>
      <c r="O7">
        <v>7</v>
      </c>
      <c r="P7">
        <v>2</v>
      </c>
    </row>
    <row r="8" spans="6:16" x14ac:dyDescent="0.3">
      <c r="F8" t="s">
        <v>2</v>
      </c>
      <c r="G8">
        <f t="shared" si="3"/>
        <v>1</v>
      </c>
      <c r="H8">
        <v>2</v>
      </c>
      <c r="I8">
        <f t="shared" si="0"/>
        <v>1.4142135623730951</v>
      </c>
      <c r="J8">
        <f t="shared" si="1"/>
        <v>1.5</v>
      </c>
      <c r="K8">
        <f t="shared" si="2"/>
        <v>2.1213203435596428</v>
      </c>
      <c r="N8">
        <v>0</v>
      </c>
      <c r="O8">
        <v>7</v>
      </c>
      <c r="P8">
        <v>1</v>
      </c>
    </row>
    <row r="9" spans="6:16" x14ac:dyDescent="0.3">
      <c r="F9" t="s">
        <v>3</v>
      </c>
      <c r="G9">
        <f t="shared" si="3"/>
        <v>2</v>
      </c>
      <c r="H9">
        <v>2</v>
      </c>
      <c r="I9">
        <f t="shared" si="0"/>
        <v>1</v>
      </c>
      <c r="J9">
        <f t="shared" si="1"/>
        <v>2</v>
      </c>
      <c r="K9">
        <f t="shared" si="2"/>
        <v>2</v>
      </c>
      <c r="N9">
        <v>0</v>
      </c>
      <c r="O9">
        <v>6</v>
      </c>
      <c r="P9">
        <v>2</v>
      </c>
    </row>
    <row r="10" spans="6:16" x14ac:dyDescent="0.3">
      <c r="F10" t="s">
        <v>2</v>
      </c>
      <c r="G10">
        <f t="shared" si="3"/>
        <v>2</v>
      </c>
      <c r="H10">
        <v>1</v>
      </c>
      <c r="I10">
        <f t="shared" si="0"/>
        <v>1.4142135623730951</v>
      </c>
      <c r="J10">
        <f t="shared" si="1"/>
        <v>1.5</v>
      </c>
      <c r="K10">
        <f t="shared" si="2"/>
        <v>2.1213203435596428</v>
      </c>
      <c r="N10">
        <v>0</v>
      </c>
      <c r="O10">
        <v>5</v>
      </c>
      <c r="P10">
        <v>3</v>
      </c>
    </row>
    <row r="11" spans="6:16" x14ac:dyDescent="0.3">
      <c r="F11" t="s">
        <v>3</v>
      </c>
      <c r="G11">
        <f t="shared" si="3"/>
        <v>1</v>
      </c>
      <c r="H11">
        <v>2</v>
      </c>
      <c r="I11">
        <f t="shared" si="0"/>
        <v>1</v>
      </c>
      <c r="J11">
        <f t="shared" si="1"/>
        <v>1.5</v>
      </c>
      <c r="K11">
        <f t="shared" si="2"/>
        <v>1.5</v>
      </c>
      <c r="N11">
        <v>0</v>
      </c>
      <c r="O11">
        <v>4</v>
      </c>
      <c r="P11">
        <v>4</v>
      </c>
    </row>
    <row r="12" spans="6:16" x14ac:dyDescent="0.3">
      <c r="F12" t="s">
        <v>3</v>
      </c>
      <c r="G12">
        <f t="shared" si="3"/>
        <v>2</v>
      </c>
      <c r="H12">
        <v>1</v>
      </c>
      <c r="I12">
        <f t="shared" si="0"/>
        <v>1</v>
      </c>
      <c r="J12">
        <f t="shared" si="1"/>
        <v>1.5</v>
      </c>
      <c r="K12">
        <f t="shared" si="2"/>
        <v>1.5</v>
      </c>
      <c r="N12">
        <v>7</v>
      </c>
      <c r="O12">
        <v>0</v>
      </c>
      <c r="P12">
        <v>1</v>
      </c>
    </row>
    <row r="13" spans="6:16" x14ac:dyDescent="0.3">
      <c r="F13" t="s">
        <v>2</v>
      </c>
      <c r="G13">
        <f t="shared" si="3"/>
        <v>1</v>
      </c>
      <c r="H13">
        <v>2</v>
      </c>
      <c r="I13">
        <f t="shared" si="0"/>
        <v>1.4142135623730951</v>
      </c>
      <c r="J13">
        <f t="shared" si="1"/>
        <v>1.5</v>
      </c>
      <c r="K13">
        <f t="shared" si="2"/>
        <v>2.1213203435596428</v>
      </c>
    </row>
    <row r="14" spans="6:16" x14ac:dyDescent="0.3">
      <c r="F14" t="s">
        <v>2</v>
      </c>
      <c r="G14">
        <f t="shared" si="3"/>
        <v>2</v>
      </c>
      <c r="H14">
        <v>1</v>
      </c>
      <c r="I14">
        <f t="shared" si="0"/>
        <v>1.4142135623730951</v>
      </c>
      <c r="J14">
        <f t="shared" si="1"/>
        <v>1.5</v>
      </c>
      <c r="K14">
        <f t="shared" si="2"/>
        <v>2.1213203435596428</v>
      </c>
    </row>
    <row r="16" spans="6:16" x14ac:dyDescent="0.3">
      <c r="I16">
        <f t="shared" si="0"/>
        <v>1.4142135623730951</v>
      </c>
      <c r="K16">
        <f t="shared" si="2"/>
        <v>0</v>
      </c>
    </row>
    <row r="17" spans="8:11" x14ac:dyDescent="0.3">
      <c r="H17" t="s">
        <v>4</v>
      </c>
      <c r="I17">
        <f>SUM(I4:I16)</f>
        <v>14.899494936611667</v>
      </c>
      <c r="K17">
        <f>SUM(K4:K16)</f>
        <v>20.727922061357855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Dyson</dc:creator>
  <cp:lastModifiedBy>Mike Dyson</cp:lastModifiedBy>
  <dcterms:created xsi:type="dcterms:W3CDTF">2026-03-07T14:40:47Z</dcterms:created>
  <dcterms:modified xsi:type="dcterms:W3CDTF">2026-03-07T15:40:03Z</dcterms:modified>
</cp:coreProperties>
</file>